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h\Downloads\"/>
    </mc:Choice>
  </mc:AlternateContent>
  <xr:revisionPtr revIDLastSave="0" documentId="8_{AB43DC5F-D42D-4E7A-BA21-8BB9E82A49C3}" xr6:coauthVersionLast="47" xr6:coauthVersionMax="47" xr10:uidLastSave="{00000000-0000-0000-0000-000000000000}"/>
  <bookViews>
    <workbookView xWindow="-120" yWindow="-120" windowWidth="29040" windowHeight="15720" xr2:uid="{C7B7FAD9-9781-487B-B518-139A76E40641}"/>
  </bookViews>
  <sheets>
    <sheet name="Carteira de Investim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D13" i="1"/>
  <c r="D16" i="1"/>
  <c r="D14" i="1"/>
  <c r="D15" i="1"/>
  <c r="D17" i="1"/>
  <c r="C17" i="1"/>
  <c r="C16" i="1"/>
  <c r="C15" i="1"/>
  <c r="C14" i="1"/>
  <c r="C13" i="1"/>
  <c r="C9" i="1"/>
  <c r="C10" i="1" s="1"/>
</calcChain>
</file>

<file path=xl/sharedStrings.xml><?xml version="1.0" encoding="utf-8"?>
<sst xmlns="http://schemas.openxmlformats.org/spreadsheetml/2006/main" count="17" uniqueCount="17">
  <si>
    <t>INVESTIMENTO MENSAL</t>
  </si>
  <si>
    <t>Quanto investir por mês?</t>
  </si>
  <si>
    <t>Por quantos Anos?</t>
  </si>
  <si>
    <t>Taxa de rendimento mensal?</t>
  </si>
  <si>
    <t>Patrimônio acomulado?</t>
  </si>
  <si>
    <t>Dividendos Mensais?</t>
  </si>
  <si>
    <t>Quantos em 2 anos</t>
  </si>
  <si>
    <t>Quantos em 5 anos</t>
  </si>
  <si>
    <t>Quantos em 10 anos</t>
  </si>
  <si>
    <t>Quantos em 20 anos</t>
  </si>
  <si>
    <t>Quantos em 30 anos</t>
  </si>
  <si>
    <t>Cenários</t>
  </si>
  <si>
    <t>Dividendo</t>
  </si>
  <si>
    <t>Configurações</t>
  </si>
  <si>
    <t>Salário</t>
  </si>
  <si>
    <t>Rendimento Carteira</t>
  </si>
  <si>
    <t>Sugestão de Investimento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</si>
</sst>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2" tint="-9.9978637043366805E-2"/>
      </right>
      <top/>
      <bottom/>
      <diagonal/>
    </border>
    <border>
      <left/>
      <right/>
      <top style="thin">
        <color theme="2" tint="-9.9978637043366805E-2"/>
      </top>
      <bottom/>
      <diagonal/>
    </border>
    <border>
      <left/>
      <right/>
      <top/>
      <bottom style="thin">
        <color theme="0" tint="-0.14999847407452621"/>
      </bottom>
      <diagonal/>
    </border>
    <border>
      <left style="medium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8" fontId="0" fillId="0" borderId="1" xfId="0" applyNumberFormat="1" applyBorder="1"/>
    <xf numFmtId="0" fontId="0" fillId="0" borderId="5" xfId="0" applyBorder="1"/>
    <xf numFmtId="8" fontId="0" fillId="0" borderId="6" xfId="0" applyNumberFormat="1" applyBorder="1"/>
    <xf numFmtId="0" fontId="4" fillId="2" borderId="3" xfId="0" applyFont="1" applyFill="1" applyBorder="1"/>
    <xf numFmtId="0" fontId="0" fillId="2" borderId="4" xfId="0" applyFill="1" applyBorder="1"/>
    <xf numFmtId="44" fontId="0" fillId="0" borderId="6" xfId="1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10" fontId="0" fillId="0" borderId="6" xfId="0" applyNumberFormat="1" applyBorder="1" applyAlignment="1">
      <alignment horizontal="center"/>
    </xf>
    <xf numFmtId="0" fontId="2" fillId="4" borderId="5" xfId="0" applyFont="1" applyFill="1" applyBorder="1"/>
    <xf numFmtId="8" fontId="0" fillId="4" borderId="6" xfId="0" applyNumberFormat="1" applyFill="1" applyBorder="1"/>
    <xf numFmtId="0" fontId="2" fillId="4" borderId="7" xfId="0" applyFont="1" applyFill="1" applyBorder="1"/>
    <xf numFmtId="8" fontId="0" fillId="4" borderId="8" xfId="0" applyNumberFormat="1" applyFill="1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3" borderId="13" xfId="0" applyFill="1" applyBorder="1"/>
    <xf numFmtId="0" fontId="0" fillId="0" borderId="12" xfId="0" applyBorder="1"/>
    <xf numFmtId="0" fontId="3" fillId="5" borderId="14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44" fontId="0" fillId="0" borderId="16" xfId="1" applyFont="1" applyBorder="1"/>
    <xf numFmtId="0" fontId="0" fillId="0" borderId="17" xfId="0" applyBorder="1"/>
    <xf numFmtId="9" fontId="0" fillId="0" borderId="16" xfId="0" applyNumberFormat="1" applyBorder="1"/>
    <xf numFmtId="0" fontId="0" fillId="0" borderId="18" xfId="0" applyBorder="1"/>
    <xf numFmtId="44" fontId="0" fillId="0" borderId="19" xfId="0" applyNumberFormat="1" applyBorder="1"/>
    <xf numFmtId="0" fontId="0" fillId="0" borderId="20" xfId="0" applyBorder="1"/>
    <xf numFmtId="0" fontId="5" fillId="2" borderId="2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2" borderId="22" xfId="0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5023D-3FA7-4EEF-A6EB-82CE3EBB24D1}">
  <dimension ref="B4:F19"/>
  <sheetViews>
    <sheetView tabSelected="1" topLeftCell="B1" workbookViewId="0">
      <selection activeCell="D9" sqref="D9"/>
    </sheetView>
  </sheetViews>
  <sheetFormatPr defaultColWidth="0" defaultRowHeight="15" x14ac:dyDescent="0.25"/>
  <cols>
    <col min="1" max="1" width="9.140625" customWidth="1"/>
    <col min="2" max="2" width="34.7109375" customWidth="1"/>
    <col min="3" max="3" width="18.140625" customWidth="1"/>
    <col min="4" max="4" width="14.5703125" customWidth="1"/>
    <col min="5" max="5" width="23.42578125" customWidth="1"/>
    <col min="6" max="6" width="12.140625" bestFit="1" customWidth="1"/>
    <col min="7" max="9" width="9.140625" customWidth="1"/>
    <col min="10" max="16384" width="9.140625" hidden="1"/>
  </cols>
  <sheetData>
    <row r="4" spans="2:6" ht="13.5" customHeight="1" thickBot="1" x14ac:dyDescent="0.3">
      <c r="D4" s="16"/>
    </row>
    <row r="5" spans="2:6" ht="45" customHeight="1" x14ac:dyDescent="0.5">
      <c r="B5" s="4" t="s">
        <v>0</v>
      </c>
      <c r="C5" s="5"/>
      <c r="D5" s="17"/>
      <c r="E5" s="19" t="s">
        <v>13</v>
      </c>
      <c r="F5" s="20"/>
    </row>
    <row r="6" spans="2:6" x14ac:dyDescent="0.25">
      <c r="B6" s="2" t="s">
        <v>1</v>
      </c>
      <c r="C6" s="6">
        <v>750</v>
      </c>
      <c r="D6" s="18"/>
      <c r="E6" s="26" t="s">
        <v>14</v>
      </c>
      <c r="F6" s="21">
        <v>2400</v>
      </c>
    </row>
    <row r="7" spans="2:6" x14ac:dyDescent="0.25">
      <c r="B7" s="2" t="s">
        <v>2</v>
      </c>
      <c r="C7" s="7">
        <v>2</v>
      </c>
      <c r="E7" s="22" t="s">
        <v>15</v>
      </c>
      <c r="F7" s="23">
        <v>0.01</v>
      </c>
    </row>
    <row r="8" spans="2:6" ht="15.75" thickBot="1" x14ac:dyDescent="0.3">
      <c r="B8" s="2" t="s">
        <v>3</v>
      </c>
      <c r="C8" s="8">
        <v>1.0699999999999999E-2</v>
      </c>
      <c r="E8" s="24" t="s">
        <v>16</v>
      </c>
      <c r="F8" s="25">
        <f>F6*30%</f>
        <v>720</v>
      </c>
    </row>
    <row r="9" spans="2:6" x14ac:dyDescent="0.25">
      <c r="B9" s="9" t="s">
        <v>4</v>
      </c>
      <c r="C9" s="10">
        <f>FV(C8,C7*12,C6*-1)</f>
        <v>20398.891212664796</v>
      </c>
    </row>
    <row r="10" spans="2:6" ht="15.75" thickBot="1" x14ac:dyDescent="0.3">
      <c r="B10" s="11" t="s">
        <v>5</v>
      </c>
      <c r="C10" s="12">
        <f>C9*C8</f>
        <v>218.2681359755133</v>
      </c>
      <c r="F10" s="13"/>
    </row>
    <row r="12" spans="2:6" ht="31.5" x14ac:dyDescent="0.5">
      <c r="B12" s="27" t="s">
        <v>11</v>
      </c>
      <c r="C12" s="28"/>
      <c r="D12" s="29" t="s">
        <v>12</v>
      </c>
    </row>
    <row r="13" spans="2:6" x14ac:dyDescent="0.25">
      <c r="B13" s="2" t="s">
        <v>6</v>
      </c>
      <c r="C13" s="1">
        <f>FV(C8,2*12,C6*-1)</f>
        <v>20398.891212664796</v>
      </c>
      <c r="D13" s="3">
        <f>C13*1%</f>
        <v>203.98891212664796</v>
      </c>
    </row>
    <row r="14" spans="2:6" x14ac:dyDescent="0.25">
      <c r="B14" s="2" t="s">
        <v>7</v>
      </c>
      <c r="C14" s="1">
        <f>FV(C8,5*12,C6*-1)</f>
        <v>62650.092003013247</v>
      </c>
      <c r="D14" s="3">
        <f>C14*1%</f>
        <v>626.50092003013253</v>
      </c>
    </row>
    <row r="15" spans="2:6" x14ac:dyDescent="0.25">
      <c r="B15" s="2" t="s">
        <v>8</v>
      </c>
      <c r="C15" s="1">
        <f>FV(C8,10*12,C6*-1)</f>
        <v>181297.33613862708</v>
      </c>
      <c r="D15" s="3">
        <f t="shared" ref="D15" si="0">C15*1%</f>
        <v>1812.9733613862709</v>
      </c>
    </row>
    <row r="16" spans="2:6" x14ac:dyDescent="0.25">
      <c r="B16" s="2" t="s">
        <v>9</v>
      </c>
      <c r="C16" s="1">
        <f>FV(C8,20*12,C6*-1)</f>
        <v>831521.8026416502</v>
      </c>
      <c r="D16" s="3">
        <f>C16*1%</f>
        <v>8315.2180264165017</v>
      </c>
    </row>
    <row r="17" spans="2:5" x14ac:dyDescent="0.25">
      <c r="B17" s="2" t="s">
        <v>10</v>
      </c>
      <c r="C17" s="1">
        <f>FV(C8,30*12,C6*-1)</f>
        <v>3163557.4841579949</v>
      </c>
      <c r="D17" s="3">
        <f t="shared" ref="D17" si="1">C17*1%</f>
        <v>31635.57484157995</v>
      </c>
    </row>
    <row r="18" spans="2:5" x14ac:dyDescent="0.25">
      <c r="E18" s="14"/>
    </row>
    <row r="19" spans="2:5" x14ac:dyDescent="0.25">
      <c r="E19" s="15"/>
    </row>
  </sheetData>
  <mergeCells count="2">
    <mergeCell ref="B12:C12"/>
    <mergeCell ref="E5:F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Carteira de Investimento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Silva</dc:creator>
  <cp:lastModifiedBy>Guilherme Silva</cp:lastModifiedBy>
  <dcterms:created xsi:type="dcterms:W3CDTF">2026-09-10T19:10:09Z</dcterms:created>
  <dcterms:modified xsi:type="dcterms:W3CDTF">2026-09-10T20:12:58Z</dcterms:modified>
</cp:coreProperties>
</file>